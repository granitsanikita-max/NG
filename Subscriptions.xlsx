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777777"/>
      <sz val="9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b val="1"/>
      <color rgb="002E5E4E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E4E"/>
      </patternFill>
    </fill>
    <fill>
      <patternFill patternType="solid">
        <fgColor rgb="00FFF7CC"/>
      </patternFill>
    </fill>
    <fill>
      <patternFill patternType="solid">
        <fgColor rgb="00EFEFEF"/>
      </patternFill>
    </fill>
    <fill>
      <patternFill patternType="solid">
        <fgColor rgb="00E3ED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34" customWidth="1" min="7" max="7"/>
  </cols>
  <sheetData>
    <row r="1" ht="30" customHeight="1">
      <c r="A1" s="1" t="inlineStr">
        <is>
          <t>Subscriptions &amp; Monthly Expenses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Edit the yellow cells. Monthly cost, Annual cost and totals calculate automatically.</t>
        </is>
      </c>
    </row>
    <row r="4" ht="20" customHeight="1">
      <c r="A4" s="4" t="inlineStr">
        <is>
          <t>Service</t>
        </is>
      </c>
      <c r="B4" s="5" t="inlineStr">
        <is>
          <t>Amount</t>
        </is>
      </c>
      <c r="C4" s="5" t="inlineStr">
        <is>
          <t>Frequency</t>
        </is>
      </c>
      <c r="D4" s="5" t="inlineStr">
        <is>
          <t>Bills on</t>
        </is>
      </c>
      <c r="E4" s="5" t="inlineStr">
        <is>
          <t>Monthly cost</t>
        </is>
      </c>
      <c r="F4" s="5" t="inlineStr">
        <is>
          <t>Annual cost</t>
        </is>
      </c>
      <c r="G4" s="4" t="inlineStr">
        <is>
          <t>Notes</t>
        </is>
      </c>
    </row>
    <row r="5">
      <c r="A5" s="6" t="inlineStr">
        <is>
          <t>Claude Max</t>
        </is>
      </c>
      <c r="B5" s="7" t="n">
        <v>170</v>
      </c>
      <c r="C5" s="8" t="inlineStr">
        <is>
          <t>Monthly</t>
        </is>
      </c>
      <c r="D5" s="8" t="inlineStr">
        <is>
          <t>10th</t>
        </is>
      </c>
      <c r="E5" s="9">
        <f>IF(C5="Monthly",B5,IF(C5="Annual",B5/12,0))</f>
        <v/>
      </c>
      <c r="F5" s="9">
        <f>IF(C5="Monthly",B5*12,IF(C5="Annual",B5,0))</f>
        <v/>
      </c>
      <c r="G5" s="10" t="inlineStr"/>
    </row>
    <row r="6">
      <c r="A6" s="6" t="inlineStr">
        <is>
          <t>GESAC</t>
        </is>
      </c>
      <c r="B6" s="7" t="n">
        <v>82</v>
      </c>
      <c r="C6" s="8" t="inlineStr">
        <is>
          <t>Monthly</t>
        </is>
      </c>
      <c r="D6" s="8" t="inlineStr"/>
      <c r="E6" s="9">
        <f>IF(C6="Monthly",B6,IF(C6="Annual",B6/12,0))</f>
        <v/>
      </c>
      <c r="F6" s="9">
        <f>IF(C6="Monthly",B6*12,IF(C6="Annual",B6,0))</f>
        <v/>
      </c>
      <c r="G6" s="10" t="inlineStr"/>
    </row>
    <row r="7">
      <c r="A7" s="6" t="inlineStr">
        <is>
          <t>Winning Hunters</t>
        </is>
      </c>
      <c r="B7" s="7" t="n">
        <v>110</v>
      </c>
      <c r="C7" s="8" t="inlineStr">
        <is>
          <t>Monthly</t>
        </is>
      </c>
      <c r="D7" s="8" t="inlineStr">
        <is>
          <t>8th</t>
        </is>
      </c>
      <c r="E7" s="9">
        <f>IF(C7="Monthly",B7,IF(C7="Annual",B7/12,0))</f>
        <v/>
      </c>
      <c r="F7" s="9">
        <f>IF(C7="Monthly",B7*12,IF(C7="Annual",B7,0))</f>
        <v/>
      </c>
      <c r="G7" s="10" t="inlineStr"/>
    </row>
    <row r="8">
      <c r="A8" s="6" t="inlineStr">
        <is>
          <t>Higgsfeild</t>
        </is>
      </c>
      <c r="B8" s="7" t="n">
        <v>180</v>
      </c>
      <c r="C8" s="8" t="inlineStr">
        <is>
          <t>Monthly</t>
        </is>
      </c>
      <c r="D8" s="8" t="inlineStr">
        <is>
          <t>23rd</t>
        </is>
      </c>
      <c r="E8" s="9">
        <f>IF(C8="Monthly",B8,IF(C8="Annual",B8/12,0))</f>
        <v/>
      </c>
      <c r="F8" s="9">
        <f>IF(C8="Monthly",B8*12,IF(C8="Annual",B8,0))</f>
        <v/>
      </c>
      <c r="G8" s="10" t="inlineStr"/>
    </row>
    <row r="9">
      <c r="A9" s="6" t="inlineStr">
        <is>
          <t>Zendrop</t>
        </is>
      </c>
      <c r="B9" s="7" t="n">
        <v>50</v>
      </c>
      <c r="C9" s="8" t="inlineStr">
        <is>
          <t>Monthly</t>
        </is>
      </c>
      <c r="D9" s="8" t="inlineStr">
        <is>
          <t>14th</t>
        </is>
      </c>
      <c r="E9" s="9">
        <f>IF(C9="Monthly",B9,IF(C9="Annual",B9/12,0))</f>
        <v/>
      </c>
      <c r="F9" s="9">
        <f>IF(C9="Monthly",B9*12,IF(C9="Annual",B9,0))</f>
        <v/>
      </c>
      <c r="G9" s="10" t="inlineStr"/>
    </row>
    <row r="10">
      <c r="A10" s="6" t="inlineStr">
        <is>
          <t>Domains</t>
        </is>
      </c>
      <c r="B10" s="7" t="n">
        <v>100</v>
      </c>
      <c r="C10" s="8" t="inlineStr">
        <is>
          <t>Monthly</t>
        </is>
      </c>
      <c r="D10" s="8" t="inlineStr"/>
      <c r="E10" s="9">
        <f>IF(C10="Monthly",B10,IF(C10="Annual",B10/12,0))</f>
        <v/>
      </c>
      <c r="F10" s="9">
        <f>IF(C10="Monthly",B10*12,IF(C10="Annual",B10,0))</f>
        <v/>
      </c>
      <c r="G10" s="10" t="inlineStr"/>
    </row>
    <row r="11">
      <c r="A11" s="6" t="inlineStr">
        <is>
          <t>Ads - product testing</t>
        </is>
      </c>
      <c r="B11" s="7" t="n">
        <v>1000</v>
      </c>
      <c r="C11" s="8" t="inlineStr">
        <is>
          <t>Monthly</t>
        </is>
      </c>
      <c r="D11" s="8" t="inlineStr"/>
      <c r="E11" s="9">
        <f>IF(C11="Monthly",B11,IF(C11="Annual",B11/12,0))</f>
        <v/>
      </c>
      <c r="F11" s="9">
        <f>IF(C11="Monthly",B11*12,IF(C11="Annual",B11,0))</f>
        <v/>
      </c>
      <c r="G11" s="10" t="inlineStr">
        <is>
          <t>Product testing ad spend</t>
        </is>
      </c>
    </row>
    <row r="12">
      <c r="A12" s="6" t="inlineStr">
        <is>
          <t>AI store making</t>
        </is>
      </c>
      <c r="B12" s="7" t="n">
        <v>180</v>
      </c>
      <c r="C12" s="8" t="inlineStr">
        <is>
          <t>Monthly</t>
        </is>
      </c>
      <c r="D12" s="8" t="inlineStr"/>
      <c r="E12" s="9">
        <f>IF(C12="Monthly",B12,IF(C12="Annual",B12/12,0))</f>
        <v/>
      </c>
      <c r="F12" s="9">
        <f>IF(C12="Monthly",B12*12,IF(C12="Annual",B12,0))</f>
        <v/>
      </c>
      <c r="G12" s="10" t="inlineStr">
        <is>
          <t>Shopify store builds</t>
        </is>
      </c>
    </row>
    <row r="13">
      <c r="A13" s="6" t="inlineStr">
        <is>
          <t>Haircuts</t>
        </is>
      </c>
      <c r="B13" s="7" t="n">
        <v>70</v>
      </c>
      <c r="C13" s="8" t="inlineStr">
        <is>
          <t>Monthly</t>
        </is>
      </c>
      <c r="D13" s="8" t="inlineStr"/>
      <c r="E13" s="9">
        <f>IF(C13="Monthly",B13,IF(C13="Annual",B13/12,0))</f>
        <v/>
      </c>
      <c r="F13" s="9">
        <f>IF(C13="Monthly",B13*12,IF(C13="Annual",B13,0))</f>
        <v/>
      </c>
      <c r="G13" s="10" t="inlineStr">
        <is>
          <t>$35 x 2 per month</t>
        </is>
      </c>
    </row>
    <row r="14">
      <c r="A14" s="6" t="inlineStr">
        <is>
          <t>Capcut</t>
        </is>
      </c>
      <c r="B14" s="7" t="n">
        <v>100</v>
      </c>
      <c r="C14" s="8" t="inlineStr">
        <is>
          <t>Annual</t>
        </is>
      </c>
      <c r="D14" s="8" t="inlineStr">
        <is>
          <t>14 Jun</t>
        </is>
      </c>
      <c r="E14" s="9">
        <f>IF(C14="Monthly",B14,IF(C14="Annual",B14/12,0))</f>
        <v/>
      </c>
      <c r="F14" s="9">
        <f>IF(C14="Monthly",B14*12,IF(C14="Annual",B14,0))</f>
        <v/>
      </c>
      <c r="G14" s="10" t="inlineStr">
        <is>
          <t>Annual renewal</t>
        </is>
      </c>
    </row>
    <row r="15">
      <c r="A15" s="11" t="inlineStr">
        <is>
          <t>TOTAL</t>
        </is>
      </c>
      <c r="B15" s="12" t="n"/>
      <c r="C15" s="12" t="n"/>
      <c r="D15" s="12" t="n"/>
      <c r="E15" s="13">
        <f>SUM(E5:E14)</f>
        <v/>
      </c>
      <c r="F15" s="13">
        <f>SUM(F5:F14)</f>
        <v/>
      </c>
      <c r="G15" s="14" t="inlineStr">
        <is>
          <t>True monthly / annual spend</t>
        </is>
      </c>
    </row>
    <row r="17">
      <c r="A17" s="15" t="inlineStr">
        <is>
          <t>Recurring monthly cash out</t>
        </is>
      </c>
      <c r="B17" s="16">
        <f>SUMIF(C5:C14,"Monthly",B5:B14)</f>
        <v/>
      </c>
      <c r="C17" s="10" t="inlineStr">
        <is>
          <t>(sum of Monthly rows only)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2026-09-10T10:04:30Z</dcterms:created>
  <dcterms:modified xsi:type="dcterms:W3CDTF">2026-09-10T10:04:30Z</dcterms:modified>
</cp:coreProperties>
</file>