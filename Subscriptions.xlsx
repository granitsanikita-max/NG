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bscrip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;($#,##0.00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777777"/>
      <sz val="9"/>
    </font>
    <font>
      <name val="Arial"/>
      <b val="1"/>
      <color rgb="00FFFFFF"/>
      <sz val="11"/>
    </font>
    <font>
      <name val="Arial"/>
      <i val="1"/>
      <color rgb="00FFFFFF"/>
      <sz val="9"/>
    </font>
    <font>
      <name val="Arial"/>
      <b val="1"/>
      <color rgb="002E5E4E"/>
      <sz val="10"/>
    </font>
    <font>
      <name val="Arial"/>
      <b val="1"/>
      <color rgb="00000000"/>
      <sz val="10"/>
    </font>
    <font>
      <name val="Arial"/>
      <i val="1"/>
      <color rgb="00777777"/>
      <sz val="10"/>
    </font>
    <font>
      <name val="Arial"/>
      <color rgb="00777777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2E5E4E"/>
      </patternFill>
    </fill>
    <fill>
      <patternFill patternType="solid">
        <fgColor rgb="00FFF7CC"/>
      </patternFill>
    </fill>
    <fill>
      <patternFill patternType="solid">
        <fgColor rgb="00EFEFEF"/>
      </patternFill>
    </fill>
    <fill>
      <patternFill patternType="solid">
        <fgColor rgb="00E3ED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164" fontId="9" fillId="6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164" fontId="11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0" customWidth="1" min="4" max="4"/>
    <col width="14" customWidth="1" min="5" max="5"/>
    <col width="14" customWidth="1" min="6" max="6"/>
    <col width="34" customWidth="1" min="7" max="7"/>
  </cols>
  <sheetData>
    <row r="1" ht="30" customHeight="1">
      <c r="A1" s="1" t="inlineStr">
        <is>
          <t>Subscriptions &amp; Monthly Expenses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Edit the yellow cells. Monthly cost, Annual cost and totals calculate automatically.</t>
        </is>
      </c>
    </row>
    <row r="4" ht="20" customHeight="1">
      <c r="A4" s="4" t="inlineStr">
        <is>
          <t>Service</t>
        </is>
      </c>
      <c r="B4" s="5" t="inlineStr">
        <is>
          <t>Amount</t>
        </is>
      </c>
      <c r="C4" s="5" t="inlineStr">
        <is>
          <t>Frequency</t>
        </is>
      </c>
      <c r="D4" s="5" t="inlineStr">
        <is>
          <t>Bills on</t>
        </is>
      </c>
      <c r="E4" s="5" t="inlineStr">
        <is>
          <t>Monthly cost</t>
        </is>
      </c>
      <c r="F4" s="5" t="inlineStr">
        <is>
          <t>Annual cost</t>
        </is>
      </c>
      <c r="G4" s="4" t="inlineStr">
        <is>
          <t>Notes</t>
        </is>
      </c>
    </row>
    <row r="5">
      <c r="A5" s="6" t="inlineStr">
        <is>
          <t>Claude Max</t>
        </is>
      </c>
      <c r="B5" s="7" t="n">
        <v>170</v>
      </c>
      <c r="C5" s="8" t="inlineStr">
        <is>
          <t>Monthly</t>
        </is>
      </c>
      <c r="D5" s="8" t="inlineStr">
        <is>
          <t>10th</t>
        </is>
      </c>
      <c r="E5" s="9">
        <f>IF(C5="Monthly",B5,IF(C5="Annual",B5/12,0))</f>
        <v/>
      </c>
      <c r="F5" s="9">
        <f>IF(C5="Monthly",B5*12,IF(C5="Annual",B5,0))</f>
        <v/>
      </c>
      <c r="G5" s="10" t="inlineStr"/>
    </row>
    <row r="6">
      <c r="A6" s="6" t="inlineStr">
        <is>
          <t>GESAC</t>
        </is>
      </c>
      <c r="B6" s="7" t="n">
        <v>82</v>
      </c>
      <c r="C6" s="8" t="inlineStr">
        <is>
          <t>Monthly</t>
        </is>
      </c>
      <c r="D6" s="8" t="inlineStr"/>
      <c r="E6" s="9">
        <f>IF(C6="Monthly",B6,IF(C6="Annual",B6/12,0))</f>
        <v/>
      </c>
      <c r="F6" s="9">
        <f>IF(C6="Monthly",B6*12,IF(C6="Annual",B6,0))</f>
        <v/>
      </c>
      <c r="G6" s="10" t="inlineStr"/>
    </row>
    <row r="7">
      <c r="A7" s="6" t="inlineStr">
        <is>
          <t>Winning Hunters</t>
        </is>
      </c>
      <c r="B7" s="7" t="n">
        <v>110</v>
      </c>
      <c r="C7" s="8" t="inlineStr">
        <is>
          <t>Monthly</t>
        </is>
      </c>
      <c r="D7" s="8" t="inlineStr">
        <is>
          <t>8th</t>
        </is>
      </c>
      <c r="E7" s="9">
        <f>IF(C7="Monthly",B7,IF(C7="Annual",B7/12,0))</f>
        <v/>
      </c>
      <c r="F7" s="9">
        <f>IF(C7="Monthly",B7*12,IF(C7="Annual",B7,0))</f>
        <v/>
      </c>
      <c r="G7" s="10" t="inlineStr"/>
    </row>
    <row r="8">
      <c r="A8" s="6" t="inlineStr">
        <is>
          <t>Higgsfeild</t>
        </is>
      </c>
      <c r="B8" s="7" t="n">
        <v>180</v>
      </c>
      <c r="C8" s="8" t="inlineStr">
        <is>
          <t>Monthly</t>
        </is>
      </c>
      <c r="D8" s="8" t="inlineStr">
        <is>
          <t>23rd</t>
        </is>
      </c>
      <c r="E8" s="9">
        <f>IF(C8="Monthly",B8,IF(C8="Annual",B8/12,0))</f>
        <v/>
      </c>
      <c r="F8" s="9">
        <f>IF(C8="Monthly",B8*12,IF(C8="Annual",B8,0))</f>
        <v/>
      </c>
      <c r="G8" s="10" t="inlineStr"/>
    </row>
    <row r="9">
      <c r="A9" s="6" t="inlineStr">
        <is>
          <t>Zendrop</t>
        </is>
      </c>
      <c r="B9" s="7" t="n">
        <v>50</v>
      </c>
      <c r="C9" s="8" t="inlineStr">
        <is>
          <t>Monthly</t>
        </is>
      </c>
      <c r="D9" s="8" t="inlineStr">
        <is>
          <t>14th</t>
        </is>
      </c>
      <c r="E9" s="9">
        <f>IF(C9="Monthly",B9,IF(C9="Annual",B9/12,0))</f>
        <v/>
      </c>
      <c r="F9" s="9">
        <f>IF(C9="Monthly",B9*12,IF(C9="Annual",B9,0))</f>
        <v/>
      </c>
      <c r="G9" s="10" t="inlineStr">
        <is>
          <t>Not in the '542' total on the note</t>
        </is>
      </c>
    </row>
    <row r="10">
      <c r="A10" s="6" t="inlineStr">
        <is>
          <t>Capcut</t>
        </is>
      </c>
      <c r="B10" s="7" t="n">
        <v>100</v>
      </c>
      <c r="C10" s="8" t="inlineStr">
        <is>
          <t>Annual</t>
        </is>
      </c>
      <c r="D10" s="8" t="inlineStr">
        <is>
          <t>14 Jun</t>
        </is>
      </c>
      <c r="E10" s="9">
        <f>IF(C10="Monthly",B10,IF(C10="Annual",B10/12,0))</f>
        <v/>
      </c>
      <c r="F10" s="9">
        <f>IF(C10="Monthly",B10*12,IF(C10="Annual",B10,0))</f>
        <v/>
      </c>
      <c r="G10" s="10" t="inlineStr">
        <is>
          <t>Annual renewal</t>
        </is>
      </c>
    </row>
    <row r="11">
      <c r="A11" s="11" t="inlineStr">
        <is>
          <t>TOTAL</t>
        </is>
      </c>
      <c r="B11" s="12" t="n"/>
      <c r="C11" s="12" t="n"/>
      <c r="D11" s="12" t="n"/>
      <c r="E11" s="13">
        <f>SUM(E5:E10)</f>
        <v/>
      </c>
      <c r="F11" s="13">
        <f>SUM(F5:F10)</f>
        <v/>
      </c>
      <c r="G11" s="14" t="inlineStr">
        <is>
          <t>True monthly / annual spend</t>
        </is>
      </c>
    </row>
    <row r="13">
      <c r="A13" s="15" t="inlineStr">
        <is>
          <t>Recurring monthly cash out</t>
        </is>
      </c>
      <c r="B13" s="16">
        <f>SUMIF(C5:C10,"Monthly",B5:B10)</f>
        <v/>
      </c>
      <c r="C13" s="10" t="inlineStr">
        <is>
          <t>(sum of Monthly rows only)</t>
        </is>
      </c>
    </row>
    <row r="14">
      <c r="A14" s="17" t="inlineStr">
        <is>
          <t>Note's stated monthly (542)</t>
        </is>
      </c>
      <c r="B14" s="18" t="n">
        <v>542</v>
      </c>
      <c r="C14" s="10" t="inlineStr">
        <is>
          <t>excludes Zendrop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2026-09-10T09:38:24Z</dcterms:created>
  <dcterms:modified xsi:type="dcterms:W3CDTF">2026-09-10T09:38:24Z</dcterms:modified>
</cp:coreProperties>
</file>